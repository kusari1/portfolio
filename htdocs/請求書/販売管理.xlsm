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ワークスキルコース\プログラミング課題\Excel\ダウンロードファイル\"/>
    </mc:Choice>
  </mc:AlternateContent>
  <bookViews>
    <workbookView xWindow="0" yWindow="0" windowWidth="15360" windowHeight="8316"/>
  </bookViews>
  <sheets>
    <sheet name="売上" sheetId="1" r:id="rId1"/>
    <sheet name="商品" sheetId="2" r:id="rId2"/>
    <sheet name="請求書" sheetId="3" r:id="rId3"/>
    <sheet name="取引先" sheetId="4" r:id="rId4"/>
  </sheets>
  <definedNames>
    <definedName name="_xlnm._FilterDatabase" localSheetId="0" hidden="1">売上!$A$4:$G$31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1" l="1"/>
  <c r="G31" i="1"/>
  <c r="E27" i="1"/>
  <c r="G27" i="1" s="1"/>
  <c r="E28" i="1"/>
  <c r="G28" i="1" s="1"/>
  <c r="E29" i="1"/>
  <c r="G29" i="1" s="1"/>
  <c r="D27" i="1"/>
  <c r="D28" i="1"/>
  <c r="D29" i="1"/>
  <c r="D31" i="1"/>
  <c r="E26" i="1"/>
  <c r="G26" i="1" s="1"/>
  <c r="D26" i="1"/>
  <c r="E25" i="1"/>
  <c r="G25" i="1" s="1"/>
  <c r="D25" i="1"/>
  <c r="E24" i="1"/>
  <c r="G24" i="1" s="1"/>
  <c r="D24" i="1"/>
  <c r="E23" i="1"/>
  <c r="G23" i="1" s="1"/>
  <c r="D23" i="1"/>
  <c r="E22" i="1"/>
  <c r="G22" i="1" s="1"/>
  <c r="D22" i="1"/>
  <c r="E21" i="1"/>
  <c r="G21" i="1" s="1"/>
  <c r="D21" i="1"/>
  <c r="D6" i="1" l="1"/>
  <c r="E6" i="1"/>
  <c r="G6" i="1" s="1"/>
  <c r="D7" i="1"/>
  <c r="E7" i="1"/>
  <c r="G7" i="1" s="1"/>
  <c r="D8" i="1"/>
  <c r="E8" i="1"/>
  <c r="G8" i="1" s="1"/>
  <c r="D9" i="1"/>
  <c r="E9" i="1"/>
  <c r="G9" i="1" s="1"/>
  <c r="D10" i="1"/>
  <c r="E10" i="1"/>
  <c r="G10" i="1" s="1"/>
  <c r="D11" i="1"/>
  <c r="E11" i="1"/>
  <c r="G11" i="1" s="1"/>
  <c r="D12" i="1"/>
  <c r="E12" i="1"/>
  <c r="G12" i="1" s="1"/>
  <c r="D13" i="1"/>
  <c r="E13" i="1"/>
  <c r="G13" i="1" s="1"/>
  <c r="D14" i="1"/>
  <c r="E14" i="1"/>
  <c r="G14" i="1" s="1"/>
  <c r="D15" i="1"/>
  <c r="E15" i="1"/>
  <c r="G15" i="1" s="1"/>
  <c r="D16" i="1"/>
  <c r="E16" i="1"/>
  <c r="G16" i="1" s="1"/>
  <c r="D17" i="1"/>
  <c r="E17" i="1"/>
  <c r="G17" i="1" s="1"/>
  <c r="D18" i="1"/>
  <c r="E18" i="1"/>
  <c r="G18" i="1" s="1"/>
  <c r="D19" i="1"/>
  <c r="E19" i="1"/>
  <c r="G19" i="1" s="1"/>
  <c r="D20" i="1"/>
  <c r="E20" i="1"/>
  <c r="G20" i="1" s="1"/>
  <c r="E5" i="1"/>
  <c r="G5" i="1" s="1"/>
  <c r="D5" i="1"/>
  <c r="F3" i="3" l="1"/>
</calcChain>
</file>

<file path=xl/sharedStrings.xml><?xml version="1.0" encoding="utf-8"?>
<sst xmlns="http://schemas.openxmlformats.org/spreadsheetml/2006/main" count="117" uniqueCount="64">
  <si>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</si>
  <si>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</si>
  <si>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</si>
  <si>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</si>
  <si>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小計</t>
    <rPh sb="0" eb="1">
      <t>ショウ</t>
    </rPh>
    <rPh sb="1" eb="2">
      <t>ケイ</t>
    </rPh>
    <phoneticPr fontId="2"/>
  </si>
  <si>
    <t>商品ID</t>
    <rPh sb="0" eb="2">
      <t>ショウヒン</t>
    </rPh>
    <phoneticPr fontId="2"/>
  </si>
  <si>
    <t>商品</t>
    <rPh sb="0" eb="2">
      <t>ショウヒン</t>
    </rPh>
    <phoneticPr fontId="2"/>
  </si>
  <si>
    <t>A001</t>
  </si>
  <si>
    <t>A001</t>
    <phoneticPr fontId="2"/>
  </si>
  <si>
    <t>A002</t>
    <phoneticPr fontId="2"/>
  </si>
  <si>
    <t>B001</t>
    <phoneticPr fontId="2"/>
  </si>
  <si>
    <t>LANケーブル</t>
    <phoneticPr fontId="2"/>
  </si>
  <si>
    <t>B001</t>
    <phoneticPr fontId="2"/>
  </si>
  <si>
    <t>A001</t>
    <phoneticPr fontId="2"/>
  </si>
  <si>
    <t>請求書</t>
    <rPh sb="0" eb="3">
      <t>セイキュウショ</t>
    </rPh>
    <phoneticPr fontId="2"/>
  </si>
  <si>
    <t>御中</t>
    <rPh sb="0" eb="2">
      <t>オンチュウ</t>
    </rPh>
    <phoneticPr fontId="2"/>
  </si>
  <si>
    <t>平素は格別のお引き立てを賜り、厚く御礼申し上げます。</t>
    <phoneticPr fontId="9"/>
  </si>
  <si>
    <t>〒111-0000　東京都○○区××0-0-0</t>
    <rPh sb="10" eb="13">
      <t>トウキョウト</t>
    </rPh>
    <rPh sb="15" eb="16">
      <t>ク</t>
    </rPh>
    <phoneticPr fontId="11"/>
  </si>
  <si>
    <t>下記の通りご請求申し上げます。</t>
  </si>
  <si>
    <t>Tel:03-****-****　Fax:03-****-****</t>
    <phoneticPr fontId="11"/>
  </si>
  <si>
    <t>小計</t>
    <rPh sb="0" eb="2">
      <t>ショウケイ</t>
    </rPh>
    <phoneticPr fontId="2"/>
  </si>
  <si>
    <t>B002</t>
    <phoneticPr fontId="2"/>
  </si>
  <si>
    <t>無線LAN子機</t>
    <rPh sb="0" eb="2">
      <t>ムセン</t>
    </rPh>
    <rPh sb="5" eb="7">
      <t>コキ</t>
    </rPh>
    <phoneticPr fontId="2"/>
  </si>
  <si>
    <t>B003</t>
    <phoneticPr fontId="2"/>
  </si>
  <si>
    <t>無線LANルータ</t>
    <rPh sb="0" eb="2">
      <t>ムセン</t>
    </rPh>
    <phoneticPr fontId="2"/>
  </si>
  <si>
    <t>A003</t>
    <phoneticPr fontId="2"/>
  </si>
  <si>
    <t>SDカード32GB</t>
    <phoneticPr fontId="2"/>
  </si>
  <si>
    <t>A004</t>
    <phoneticPr fontId="2"/>
  </si>
  <si>
    <t>USBメモリ64GB</t>
    <phoneticPr fontId="2"/>
  </si>
  <si>
    <t>C001</t>
    <phoneticPr fontId="2"/>
  </si>
  <si>
    <t>C002</t>
    <phoneticPr fontId="2"/>
  </si>
  <si>
    <t>光学マウス</t>
    <rPh sb="0" eb="2">
      <t>コウガク</t>
    </rPh>
    <phoneticPr fontId="2"/>
  </si>
  <si>
    <t>ワイヤレスマウス</t>
    <phoneticPr fontId="2"/>
  </si>
  <si>
    <t>顧客</t>
    <rPh sb="0" eb="2">
      <t>コキャク</t>
    </rPh>
    <phoneticPr fontId="2"/>
  </si>
  <si>
    <t>B002</t>
    <phoneticPr fontId="2"/>
  </si>
  <si>
    <t>PCショップたて</t>
    <phoneticPr fontId="11"/>
  </si>
  <si>
    <t>A002</t>
  </si>
  <si>
    <t>B002</t>
    <phoneticPr fontId="2"/>
  </si>
  <si>
    <t>C002</t>
    <phoneticPr fontId="2"/>
  </si>
  <si>
    <t>B002</t>
    <phoneticPr fontId="2"/>
  </si>
  <si>
    <t>B003</t>
    <phoneticPr fontId="2"/>
  </si>
  <si>
    <t>SDカード64GB</t>
    <phoneticPr fontId="2"/>
  </si>
  <si>
    <t>USBメモリ32GB</t>
    <phoneticPr fontId="2"/>
  </si>
  <si>
    <t>A003</t>
    <phoneticPr fontId="2"/>
  </si>
  <si>
    <t>A004</t>
    <phoneticPr fontId="2"/>
  </si>
  <si>
    <t>商品ID</t>
  </si>
  <si>
    <t>コマバ商事</t>
  </si>
  <si>
    <t>TSUWAGG</t>
  </si>
  <si>
    <t>横関工務店</t>
  </si>
  <si>
    <t>横関工務店</t>
    <phoneticPr fontId="2"/>
  </si>
  <si>
    <t>デンキのヨネヤ</t>
  </si>
  <si>
    <t>中西不動産</t>
  </si>
  <si>
    <t>A003</t>
    <phoneticPr fontId="2"/>
  </si>
  <si>
    <t>コマバ商事</t>
    <phoneticPr fontId="2"/>
  </si>
  <si>
    <t>コマバ商事</t>
    <phoneticPr fontId="2"/>
  </si>
  <si>
    <t>デンキのヨネヤ</t>
    <phoneticPr fontId="2"/>
  </si>
  <si>
    <t>C003</t>
  </si>
  <si>
    <t>HDMIケーブル</t>
    <phoneticPr fontId="2"/>
  </si>
  <si>
    <t>商品ID</t>
    <rPh sb="0" eb="2">
      <t>ショウヒン</t>
    </rPh>
    <phoneticPr fontId="2"/>
  </si>
  <si>
    <t>商品id</t>
    <rPh sb="0" eb="2">
      <t>ショウヒン</t>
    </rPh>
    <phoneticPr fontId="2"/>
  </si>
  <si>
    <t>合計</t>
  </si>
  <si>
    <t>税込み価格</t>
  </si>
  <si>
    <t>A004</t>
  </si>
  <si>
    <t>USBメモリ64GB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</si>
</sst>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¥&quot;#,##0;[Red]&quot;¥&quot;\-#,##0"/>
    <numFmt numFmtId="176" formatCode="[$-F800]dddd\,\ mmmm\ dd\,\ yyyy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ＭＳ Ｐゴシック"/>
      <family val="2"/>
      <charset val="128"/>
    </font>
    <font>
      <b/>
      <sz val="10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7"/>
      <name val="MS UI Gothic"/>
      <family val="3"/>
      <charset val="128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11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6" fontId="0" fillId="0" borderId="0" xfId="1" applyFont="1">
      <alignment vertical="center"/>
    </xf>
    <xf numFmtId="14" fontId="0" fillId="0" borderId="0" xfId="0" applyNumberFormat="1">
      <alignment vertical="center"/>
    </xf>
    <xf numFmtId="6" fontId="0" fillId="0" borderId="0" xfId="1" applyNumberFormat="1" applyFont="1">
      <alignment vertical="center"/>
    </xf>
    <xf numFmtId="176" fontId="4" fillId="0" borderId="0" xfId="0" applyNumberFormat="1" applyFont="1" applyAlignment="1">
      <alignment horizontal="right" vertical="center"/>
    </xf>
    <xf numFmtId="0" fontId="8" fillId="0" borderId="2" xfId="0" applyFont="1" applyBorder="1">
      <alignment vertical="center"/>
    </xf>
    <xf numFmtId="0" fontId="0" fillId="0" borderId="2" xfId="0" applyBorder="1">
      <alignment vertical="center"/>
    </xf>
    <xf numFmtId="0" fontId="10" fillId="0" borderId="0" xfId="0" applyFont="1" applyBorder="1">
      <alignment vertical="center"/>
    </xf>
    <xf numFmtId="0" fontId="4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5" fillId="0" borderId="0" xfId="0" applyFont="1">
      <alignment vertical="center"/>
    </xf>
    <xf numFmtId="0" fontId="7" fillId="3" borderId="3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6" fontId="0" fillId="0" borderId="4" xfId="1" applyFont="1" applyBorder="1">
      <alignment vertical="center"/>
    </xf>
    <xf numFmtId="0" fontId="0" fillId="0" borderId="5" xfId="0" applyBorder="1">
      <alignment vertical="center"/>
    </xf>
    <xf numFmtId="6" fontId="0" fillId="0" borderId="5" xfId="1" applyFont="1" applyBorder="1">
      <alignment vertical="center"/>
    </xf>
    <xf numFmtId="0" fontId="0" fillId="0" borderId="6" xfId="0" applyBorder="1">
      <alignment vertical="center"/>
    </xf>
    <xf numFmtId="6" fontId="0" fillId="0" borderId="6" xfId="1" applyFont="1" applyBorder="1">
      <alignment vertical="center"/>
    </xf>
    <xf numFmtId="6" fontId="0" fillId="0" borderId="3" xfId="1" applyNumberFormat="1" applyFont="1" applyBorder="1">
      <alignment vertical="center"/>
    </xf>
    <xf numFmtId="0" fontId="13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0" fillId="0" borderId="7" xfId="0" applyBorder="1">
      <alignment vertical="center"/>
    </xf>
    <xf numFmtId="0" fontId="4" fillId="0" borderId="0" xfId="0" applyFont="1" applyBorder="1" applyAlignment="1">
      <alignment horizontal="right" vertical="center"/>
    </xf>
    <xf numFmtId="14" fontId="0" fillId="0" borderId="4" xfId="0" applyNumberFormat="1" applyBorder="1">
      <alignment vertical="center"/>
    </xf>
    <xf numFmtId="14" fontId="0" fillId="0" borderId="5" xfId="0" applyNumberFormat="1" applyBorder="1">
      <alignment vertical="center"/>
    </xf>
    <xf numFmtId="14" fontId="0" fillId="0" borderId="6" xfId="0" applyNumberFormat="1" applyBorder="1">
      <alignment vertical="center"/>
    </xf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3" fillId="0" borderId="0" xfId="0" applyFont="1">
      <alignment vertical="center"/>
    </xf>
    <xf numFmtId="0" fontId="14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6" fontId="14" fillId="0" borderId="0" xfId="1" applyFont="1" applyBorder="1">
      <alignment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</cellXfs>
  <cellStyles count="2">
    <cellStyle name="通貨" xfId="1" builtinId="7"/>
    <cellStyle name="標準" xfId="0" builtinId="0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1043940</xdr:colOff>
      <xdr:row>2</xdr:row>
      <xdr:rowOff>15240</xdr:rowOff>
    </xdr:to>
    <xdr:sp macro="[0]!請求書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B3ABB08-1813-4E32-A700-63F3DE02D97C}"/>
            </a:ext>
          </a:extLst>
        </xdr:cNvPr>
        <xdr:cNvSpPr/>
      </xdr:nvSpPr>
      <xdr:spPr>
        <a:xfrm>
          <a:off x="4389120" y="259080"/>
          <a:ext cx="1043940" cy="25146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請求書作成</a:t>
          </a:r>
        </a:p>
      </xdr:txBody>
    </xdr:sp>
    <xdr:clientData/>
  </xdr:twoCellAnchor>
  <xdr:twoCellAnchor>
    <xdr:from>
      <xdr:col>8</xdr:col>
      <xdr:colOff>403860</xdr:colOff>
      <xdr:row>1</xdr:row>
      <xdr:rowOff>0</xdr:rowOff>
    </xdr:from>
    <xdr:to>
      <xdr:col>9</xdr:col>
      <xdr:colOff>449580</xdr:colOff>
      <xdr:row>2</xdr:row>
      <xdr:rowOff>38100</xdr:rowOff>
    </xdr:to>
    <xdr:sp macro="[0]!請求書作成商品id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BB3ABB08-1813-4E32-A700-63F3DE02D97C}"/>
            </a:ext>
          </a:extLst>
        </xdr:cNvPr>
        <xdr:cNvSpPr/>
      </xdr:nvSpPr>
      <xdr:spPr>
        <a:xfrm>
          <a:off x="7833360" y="259080"/>
          <a:ext cx="1379220" cy="2743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請求書作成</a:t>
          </a:r>
          <a:r>
            <a:rPr kumimoji="1" lang="en-US" altLang="ja-JP" sz="900"/>
            <a:t>(</a:t>
          </a:r>
          <a:r>
            <a:rPr kumimoji="1" lang="ja-JP" altLang="en-US" sz="900"/>
            <a:t>商品</a:t>
          </a:r>
          <a:r>
            <a:rPr kumimoji="1" lang="en-US" altLang="ja-JP" sz="900"/>
            <a:t>id</a:t>
          </a:r>
          <a:r>
            <a:rPr kumimoji="1" lang="ja-JP" altLang="en-US" sz="900"/>
            <a:t>別</a:t>
          </a:r>
          <a:r>
            <a:rPr kumimoji="1" lang="en-US" altLang="ja-JP" sz="900"/>
            <a:t>)</a:t>
          </a:r>
          <a:endParaRPr kumimoji="1" lang="ja-JP" altLang="en-US" sz="9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1"/>
  <sheetViews>
    <sheetView tabSelected="1" topLeftCell="B1" workbookViewId="0">
      <selection activeCell="H2" sqref="H2"/>
    </sheetView>
  </sheetViews>
  <sheetFormatPr defaultRowHeight="18" x14ac:dyDescent="0.45"/>
  <cols>
    <col min="1" max="1" width="10.69921875" customWidth="1"/>
    <col min="2" max="2" width="13.69921875" customWidth="1"/>
    <col min="4" max="4" width="16.5" customWidth="1"/>
    <col min="5" max="5" width="7.8984375" bestFit="1" customWidth="1"/>
    <col min="6" max="6" width="20.69921875" customWidth="1"/>
    <col min="8" max="8" width="10.3984375" bestFit="1" customWidth="1"/>
    <col min="9" max="9" width="17.5" customWidth="1"/>
    <col min="10" max="10" width="14.19921875" bestFit="1" customWidth="1"/>
    <col min="12" max="12" width="16.19921875" bestFit="1" customWidth="1"/>
  </cols>
  <sheetData>
    <row r="1" spans="1:8" ht="20.399999999999999" thickBot="1" x14ac:dyDescent="0.5">
      <c r="A1" s="31"/>
    </row>
    <row r="2" spans="1:8" ht="18.600000000000001" thickBot="1" x14ac:dyDescent="0.5">
      <c r="B2" s="1"/>
      <c r="C2" s="25" t="s">
        <v>33</v>
      </c>
      <c r="D2" s="24" t="s">
        <v>48</v>
      </c>
      <c r="G2" t="s">
        <v>58</v>
      </c>
      <c r="H2" s="24" t="s">
        <v>62</v>
      </c>
    </row>
    <row r="3" spans="1:8" ht="12" customHeight="1" x14ac:dyDescent="0.45"/>
    <row r="4" spans="1:8" x14ac:dyDescent="0.45">
      <c r="A4" s="29" t="s">
        <v>0</v>
      </c>
      <c r="B4" s="29" t="s">
        <v>33</v>
      </c>
      <c r="C4" s="30" t="s">
        <v>5</v>
      </c>
      <c r="D4" s="30" t="s">
        <v>1</v>
      </c>
      <c r="E4" s="30" t="s">
        <v>2</v>
      </c>
      <c r="F4" s="30" t="s">
        <v>3</v>
      </c>
      <c r="G4" s="30" t="s">
        <v>4</v>
      </c>
    </row>
    <row r="5" spans="1:8" x14ac:dyDescent="0.45">
      <c r="A5" s="5">
        <v>43124</v>
      </c>
      <c r="B5" s="5" t="s">
        <v>51</v>
      </c>
      <c r="C5" t="s">
        <v>34</v>
      </c>
      <c r="D5" t="str">
        <f>IFERROR(VLOOKUP($C5,商品!$A:$C,2,FALSE),"")</f>
        <v>無線LAN子機</v>
      </c>
      <c r="E5" s="4">
        <f>IFERROR(VLOOKUP($C5,商品!$A:$C,3,FALSE),"")</f>
        <v>2000</v>
      </c>
      <c r="F5" s="33">
        <v>4</v>
      </c>
      <c r="G5" s="6">
        <f>IFERROR($E5*$F5,"")</f>
        <v>8000</v>
      </c>
    </row>
    <row r="6" spans="1:8" x14ac:dyDescent="0.45">
      <c r="A6" s="5">
        <v>43124</v>
      </c>
      <c r="B6" s="5" t="s">
        <v>55</v>
      </c>
      <c r="C6" t="s">
        <v>29</v>
      </c>
      <c r="D6" t="str">
        <f>IFERROR(VLOOKUP($C6,商品!$A:$C,2,FALSE),"")</f>
        <v>光学マウス</v>
      </c>
      <c r="E6" s="4">
        <f>IFERROR(VLOOKUP($C6,商品!$A:$C,3,FALSE),"")</f>
        <v>680</v>
      </c>
      <c r="F6" s="33">
        <v>2</v>
      </c>
      <c r="G6" s="6">
        <f t="shared" ref="G6:G31" si="0">IFERROR($E6*$F6,"")</f>
        <v>1360</v>
      </c>
    </row>
    <row r="7" spans="1:8" x14ac:dyDescent="0.45">
      <c r="A7" s="5">
        <v>43125</v>
      </c>
      <c r="B7" s="5" t="s">
        <v>48</v>
      </c>
      <c r="C7" t="s">
        <v>36</v>
      </c>
      <c r="D7" t="str">
        <f>IFERROR(VLOOKUP($C7,商品!$A:$C,2,FALSE),"")</f>
        <v>USBメモリ32GB</v>
      </c>
      <c r="E7" s="4">
        <f>IFERROR(VLOOKUP($C7,商品!$A:$C,3,FALSE),"")</f>
        <v>1200</v>
      </c>
      <c r="F7" s="33">
        <v>1</v>
      </c>
      <c r="G7" s="6">
        <f t="shared" si="0"/>
        <v>1200</v>
      </c>
    </row>
    <row r="8" spans="1:8" x14ac:dyDescent="0.45">
      <c r="A8" s="5">
        <v>43125</v>
      </c>
      <c r="B8" s="5" t="s">
        <v>54</v>
      </c>
      <c r="C8" t="s">
        <v>43</v>
      </c>
      <c r="D8" t="str">
        <f>IFERROR(VLOOKUP($C8,商品!$A:$C,2,FALSE),"")</f>
        <v>SDカード64GB</v>
      </c>
      <c r="E8" s="4">
        <f>IFERROR(VLOOKUP($C8,商品!$A:$C,3,FALSE),"")</f>
        <v>2800</v>
      </c>
      <c r="F8" s="33">
        <v>5</v>
      </c>
      <c r="G8" s="6">
        <f t="shared" si="0"/>
        <v>14000</v>
      </c>
    </row>
    <row r="9" spans="1:8" x14ac:dyDescent="0.45">
      <c r="A9" s="5">
        <v>43125</v>
      </c>
      <c r="B9" s="5" t="s">
        <v>53</v>
      </c>
      <c r="C9" t="s">
        <v>7</v>
      </c>
      <c r="D9" t="str">
        <f>IFERROR(VLOOKUP($C9,商品!$A:$C,2,FALSE),"")</f>
        <v>SDカード32GB</v>
      </c>
      <c r="E9" s="4">
        <f>IFERROR(VLOOKUP($C9,商品!$A:$C,3,FALSE),"")</f>
        <v>1500</v>
      </c>
      <c r="F9" s="33">
        <v>2</v>
      </c>
      <c r="G9" s="6">
        <f t="shared" si="0"/>
        <v>3000</v>
      </c>
    </row>
    <row r="10" spans="1:8" x14ac:dyDescent="0.45">
      <c r="A10" s="5">
        <v>43126</v>
      </c>
      <c r="B10" s="5" t="s">
        <v>51</v>
      </c>
      <c r="C10" t="s">
        <v>12</v>
      </c>
      <c r="D10" t="str">
        <f>IFERROR(VLOOKUP($C10,商品!$A:$C,2,FALSE),"")</f>
        <v>LANケーブル</v>
      </c>
      <c r="E10" s="4">
        <f>IFERROR(VLOOKUP($C10,商品!$A:$C,3,FALSE),"")</f>
        <v>800</v>
      </c>
      <c r="F10" s="33">
        <v>3</v>
      </c>
      <c r="G10" s="6">
        <f t="shared" si="0"/>
        <v>2400</v>
      </c>
    </row>
    <row r="11" spans="1:8" x14ac:dyDescent="0.45">
      <c r="A11" s="5">
        <v>43126</v>
      </c>
      <c r="B11" s="5" t="s">
        <v>47</v>
      </c>
      <c r="C11" t="s">
        <v>38</v>
      </c>
      <c r="D11" t="str">
        <f>IFERROR(VLOOKUP($C11,商品!$A:$C,2,FALSE),"")</f>
        <v>ワイヤレスマウス</v>
      </c>
      <c r="E11" s="4">
        <f>IFERROR(VLOOKUP($C11,商品!$A:$C,3,FALSE),"")</f>
        <v>3000</v>
      </c>
      <c r="F11" s="33">
        <v>1</v>
      </c>
      <c r="G11" s="6">
        <f t="shared" si="0"/>
        <v>3000</v>
      </c>
    </row>
    <row r="12" spans="1:8" x14ac:dyDescent="0.45">
      <c r="A12" s="5">
        <v>43126</v>
      </c>
      <c r="B12" s="5" t="s">
        <v>47</v>
      </c>
      <c r="C12" t="s">
        <v>13</v>
      </c>
      <c r="D12" t="str">
        <f>IFERROR(VLOOKUP($C12,商品!$A:$C,2,FALSE),"")</f>
        <v>SDカード32GB</v>
      </c>
      <c r="E12" s="4">
        <f>IFERROR(VLOOKUP($C12,商品!$A:$C,3,FALSE),"")</f>
        <v>1500</v>
      </c>
      <c r="F12" s="33">
        <v>4</v>
      </c>
      <c r="G12" s="6">
        <f t="shared" si="0"/>
        <v>6000</v>
      </c>
    </row>
    <row r="13" spans="1:8" x14ac:dyDescent="0.45">
      <c r="A13" s="5">
        <v>43127</v>
      </c>
      <c r="B13" s="5" t="s">
        <v>51</v>
      </c>
      <c r="C13" t="s">
        <v>37</v>
      </c>
      <c r="D13" t="str">
        <f>IFERROR(VLOOKUP($C13,商品!$A:$C,2,FALSE),"")</f>
        <v>無線LAN子機</v>
      </c>
      <c r="E13" s="4">
        <f>IFERROR(VLOOKUP($C13,商品!$A:$C,3,FALSE),"")</f>
        <v>2000</v>
      </c>
      <c r="F13" s="33">
        <v>2</v>
      </c>
      <c r="G13" s="6">
        <f t="shared" si="0"/>
        <v>4000</v>
      </c>
    </row>
    <row r="14" spans="1:8" x14ac:dyDescent="0.45">
      <c r="A14" s="5">
        <v>43127</v>
      </c>
      <c r="B14" s="5" t="s">
        <v>51</v>
      </c>
      <c r="C14" t="s">
        <v>13</v>
      </c>
      <c r="D14" t="str">
        <f>IFERROR(VLOOKUP($C14,商品!$A:$C,2,FALSE),"")</f>
        <v>SDカード32GB</v>
      </c>
      <c r="E14" s="4">
        <f>IFERROR(VLOOKUP($C14,商品!$A:$C,3,FALSE),"")</f>
        <v>1500</v>
      </c>
      <c r="F14" s="33">
        <v>3</v>
      </c>
      <c r="G14" s="6">
        <f t="shared" si="0"/>
        <v>4500</v>
      </c>
    </row>
    <row r="15" spans="1:8" x14ac:dyDescent="0.45">
      <c r="A15" s="5">
        <v>43128</v>
      </c>
      <c r="B15" s="5" t="s">
        <v>46</v>
      </c>
      <c r="C15" t="s">
        <v>40</v>
      </c>
      <c r="D15" t="str">
        <f>IFERROR(VLOOKUP($C15,商品!$A:$C,2,FALSE),"")</f>
        <v>無線LANルータ</v>
      </c>
      <c r="E15" s="4">
        <f>IFERROR(VLOOKUP($C15,商品!$A:$C,3,FALSE),"")</f>
        <v>13000</v>
      </c>
      <c r="F15" s="33">
        <v>2</v>
      </c>
      <c r="G15" s="6">
        <f t="shared" si="0"/>
        <v>26000</v>
      </c>
    </row>
    <row r="16" spans="1:8" x14ac:dyDescent="0.45">
      <c r="A16" s="5">
        <v>43128</v>
      </c>
      <c r="B16" s="5" t="s">
        <v>46</v>
      </c>
      <c r="C16" t="s">
        <v>39</v>
      </c>
      <c r="D16" t="str">
        <f>IFERROR(VLOOKUP($C16,商品!$A:$C,2,FALSE),"")</f>
        <v>無線LAN子機</v>
      </c>
      <c r="E16" s="4">
        <f>IFERROR(VLOOKUP($C16,商品!$A:$C,3,FALSE),"")</f>
        <v>2000</v>
      </c>
      <c r="F16" s="33">
        <v>5</v>
      </c>
      <c r="G16" s="6">
        <f t="shared" si="0"/>
        <v>10000</v>
      </c>
    </row>
    <row r="17" spans="1:7" x14ac:dyDescent="0.45">
      <c r="A17" s="5">
        <v>43128</v>
      </c>
      <c r="B17" s="5" t="s">
        <v>50</v>
      </c>
      <c r="C17" t="s">
        <v>52</v>
      </c>
      <c r="D17" t="str">
        <f>IFERROR(VLOOKUP($C17,商品!$A:$C,2,FALSE),"")</f>
        <v>SDカード64GB</v>
      </c>
      <c r="E17" s="4">
        <f>IFERROR(VLOOKUP($C17,商品!$A:$C,3,FALSE),"")</f>
        <v>2800</v>
      </c>
      <c r="F17" s="33">
        <v>2</v>
      </c>
      <c r="G17" s="6">
        <f t="shared" si="0"/>
        <v>5600</v>
      </c>
    </row>
    <row r="18" spans="1:7" x14ac:dyDescent="0.45">
      <c r="A18" s="5">
        <v>43129</v>
      </c>
      <c r="B18" s="5" t="s">
        <v>47</v>
      </c>
      <c r="C18" t="s">
        <v>13</v>
      </c>
      <c r="D18" t="str">
        <f>IFERROR(VLOOKUP($C18,商品!$A:$C,2,FALSE),"")</f>
        <v>SDカード32GB</v>
      </c>
      <c r="E18" s="4">
        <f>IFERROR(VLOOKUP($C18,商品!$A:$C,3,FALSE),"")</f>
        <v>1500</v>
      </c>
      <c r="F18" s="33">
        <v>1</v>
      </c>
      <c r="G18" s="6">
        <f t="shared" si="0"/>
        <v>1500</v>
      </c>
    </row>
    <row r="19" spans="1:7" x14ac:dyDescent="0.45">
      <c r="A19" s="5">
        <v>43130</v>
      </c>
      <c r="B19" s="5" t="s">
        <v>49</v>
      </c>
      <c r="C19" t="s">
        <v>44</v>
      </c>
      <c r="D19" t="str">
        <f>IFERROR(VLOOKUP($C19,商品!$A:$C,2,FALSE),"")</f>
        <v>USBメモリ64GB</v>
      </c>
      <c r="E19" s="4">
        <f>IFERROR(VLOOKUP($C19,商品!$A:$C,3,FALSE),"")</f>
        <v>3000</v>
      </c>
      <c r="F19" s="33">
        <v>3</v>
      </c>
      <c r="G19" s="6">
        <f t="shared" si="0"/>
        <v>9000</v>
      </c>
    </row>
    <row r="20" spans="1:7" x14ac:dyDescent="0.45">
      <c r="A20" s="5">
        <v>43130</v>
      </c>
      <c r="B20" s="5" t="s">
        <v>46</v>
      </c>
      <c r="C20" t="s">
        <v>30</v>
      </c>
      <c r="D20" t="str">
        <f>IFERROR(VLOOKUP($C20,商品!$A:$C,2,FALSE),"")</f>
        <v>ワイヤレスマウス</v>
      </c>
      <c r="E20" s="4">
        <f>IFERROR(VLOOKUP($C20,商品!$A:$C,3,FALSE),"")</f>
        <v>3000</v>
      </c>
      <c r="F20" s="33">
        <v>1</v>
      </c>
      <c r="G20" s="6">
        <f t="shared" si="0"/>
        <v>3000</v>
      </c>
    </row>
    <row r="21" spans="1:7" x14ac:dyDescent="0.45">
      <c r="A21" s="5">
        <v>43128</v>
      </c>
      <c r="B21" s="5" t="s">
        <v>46</v>
      </c>
      <c r="C21" t="s">
        <v>23</v>
      </c>
      <c r="D21" t="str">
        <f>IFERROR(VLOOKUP($C21,商品!$A:$C,2,FALSE),"")</f>
        <v>無線LANルータ</v>
      </c>
      <c r="E21" s="4">
        <f>IFERROR(VLOOKUP($C21,商品!$A:$C,3,FALSE),"")</f>
        <v>13000</v>
      </c>
      <c r="F21" s="33">
        <v>2</v>
      </c>
      <c r="G21" s="6">
        <f t="shared" si="0"/>
        <v>26000</v>
      </c>
    </row>
    <row r="22" spans="1:7" x14ac:dyDescent="0.45">
      <c r="A22" s="5">
        <v>43128</v>
      </c>
      <c r="B22" s="5" t="s">
        <v>46</v>
      </c>
      <c r="C22" t="s">
        <v>21</v>
      </c>
      <c r="D22" t="str">
        <f>IFERROR(VLOOKUP($C22,商品!$A:$C,2,FALSE),"")</f>
        <v>無線LAN子機</v>
      </c>
      <c r="E22" s="4">
        <f>IFERROR(VLOOKUP($C22,商品!$A:$C,3,FALSE),"")</f>
        <v>2000</v>
      </c>
      <c r="F22" s="33">
        <v>5</v>
      </c>
      <c r="G22" s="6">
        <f t="shared" si="0"/>
        <v>10000</v>
      </c>
    </row>
    <row r="23" spans="1:7" x14ac:dyDescent="0.45">
      <c r="A23" s="5">
        <v>43128</v>
      </c>
      <c r="B23" s="5" t="s">
        <v>50</v>
      </c>
      <c r="C23" t="s">
        <v>25</v>
      </c>
      <c r="D23" t="str">
        <f>IFERROR(VLOOKUP($C23,商品!$A:$C,2,FALSE),"")</f>
        <v>SDカード64GB</v>
      </c>
      <c r="E23" s="4">
        <f>IFERROR(VLOOKUP($C23,商品!$A:$C,3,FALSE),"")</f>
        <v>2800</v>
      </c>
      <c r="F23" s="33">
        <v>2</v>
      </c>
      <c r="G23" s="6">
        <f t="shared" si="0"/>
        <v>5600</v>
      </c>
    </row>
    <row r="24" spans="1:7" x14ac:dyDescent="0.45">
      <c r="A24" s="5">
        <v>43129</v>
      </c>
      <c r="B24" s="5" t="s">
        <v>47</v>
      </c>
      <c r="C24" t="s">
        <v>8</v>
      </c>
      <c r="D24" t="str">
        <f>IFERROR(VLOOKUP($C24,商品!$A:$C,2,FALSE),"")</f>
        <v>SDカード32GB</v>
      </c>
      <c r="E24" s="4">
        <f>IFERROR(VLOOKUP($C24,商品!$A:$C,3,FALSE),"")</f>
        <v>1500</v>
      </c>
      <c r="F24" s="33">
        <v>1</v>
      </c>
      <c r="G24" s="6">
        <f t="shared" si="0"/>
        <v>1500</v>
      </c>
    </row>
    <row r="25" spans="1:7" x14ac:dyDescent="0.45">
      <c r="A25" s="5">
        <v>43130</v>
      </c>
      <c r="B25" s="5" t="s">
        <v>49</v>
      </c>
      <c r="C25" t="s">
        <v>27</v>
      </c>
      <c r="D25" t="str">
        <f>IFERROR(VLOOKUP($C25,商品!$A:$C,2,FALSE),"")</f>
        <v>USBメモリ64GB</v>
      </c>
      <c r="E25" s="4">
        <f>IFERROR(VLOOKUP($C25,商品!$A:$C,3,FALSE),"")</f>
        <v>3000</v>
      </c>
      <c r="F25" s="33">
        <v>3</v>
      </c>
      <c r="G25" s="6">
        <f t="shared" si="0"/>
        <v>9000</v>
      </c>
    </row>
    <row r="26" spans="1:7" x14ac:dyDescent="0.45">
      <c r="A26" s="5">
        <v>43130</v>
      </c>
      <c r="B26" s="5" t="s">
        <v>46</v>
      </c>
      <c r="C26" t="s">
        <v>30</v>
      </c>
      <c r="D26" t="str">
        <f>IFERROR(VLOOKUP($C26,商品!$A:$C,2,FALSE),"")</f>
        <v>ワイヤレスマウス</v>
      </c>
      <c r="E26" s="4">
        <f>IFERROR(VLOOKUP($C26,商品!$A:$C,3,FALSE),"")</f>
        <v>3000</v>
      </c>
      <c r="F26" s="33">
        <v>1</v>
      </c>
      <c r="G26" s="6">
        <f t="shared" si="0"/>
        <v>3000</v>
      </c>
    </row>
    <row r="27" spans="1:7" x14ac:dyDescent="0.45">
      <c r="A27" s="5">
        <v>43131</v>
      </c>
      <c r="B27" s="5" t="s">
        <v>47</v>
      </c>
      <c r="C27" t="s">
        <v>25</v>
      </c>
      <c r="D27" t="str">
        <f>IFERROR(VLOOKUP($C27,商品!$A:$C,2,FALSE),"")</f>
        <v>SDカード64GB</v>
      </c>
      <c r="E27" s="4">
        <f>IFERROR(VLOOKUP($C27,商品!$A:$C,3,FALSE),"")</f>
        <v>2800</v>
      </c>
      <c r="F27" s="33">
        <v>1</v>
      </c>
      <c r="G27" s="6">
        <f t="shared" si="0"/>
        <v>2800</v>
      </c>
    </row>
    <row r="28" spans="1:7" x14ac:dyDescent="0.45">
      <c r="A28" s="5">
        <v>43132</v>
      </c>
      <c r="B28" s="5" t="s">
        <v>49</v>
      </c>
      <c r="C28" t="s">
        <v>8</v>
      </c>
      <c r="D28" t="str">
        <f>IFERROR(VLOOKUP($C28,商品!$A:$C,2,FALSE),"")</f>
        <v>SDカード32GB</v>
      </c>
      <c r="E28" s="4">
        <f>IFERROR(VLOOKUP($C28,商品!$A:$C,3,FALSE),"")</f>
        <v>1500</v>
      </c>
      <c r="F28" s="33">
        <v>1</v>
      </c>
      <c r="G28" s="6">
        <f t="shared" si="0"/>
        <v>1500</v>
      </c>
    </row>
    <row r="29" spans="1:7" x14ac:dyDescent="0.45">
      <c r="A29" s="5">
        <v>43133</v>
      </c>
      <c r="B29" s="5" t="s">
        <v>46</v>
      </c>
      <c r="C29" t="s">
        <v>27</v>
      </c>
      <c r="D29" t="str">
        <f>IFERROR(VLOOKUP($C29,商品!$A:$C,2,FALSE),"")</f>
        <v>USBメモリ64GB</v>
      </c>
      <c r="E29" s="4">
        <f>IFERROR(VLOOKUP($C29,商品!$A:$C,3,FALSE),"")</f>
        <v>3000</v>
      </c>
      <c r="F29" s="33">
        <v>1</v>
      </c>
      <c r="G29" s="6">
        <f t="shared" si="0"/>
        <v>3000</v>
      </c>
    </row>
    <row r="30" spans="1:7" x14ac:dyDescent="0.45">
      <c r="A30" s="5">
        <v>43134</v>
      </c>
      <c r="B30" s="5" t="s">
        <v>47</v>
      </c>
      <c r="C30" t="s">
        <v>56</v>
      </c>
      <c r="D30" t="s">
        <v>57</v>
      </c>
      <c r="E30" s="4">
        <v>500</v>
      </c>
      <c r="F30" s="33">
        <v>1</v>
      </c>
      <c r="G30" s="6">
        <f t="shared" si="0"/>
        <v>500</v>
      </c>
    </row>
    <row r="31" spans="1:7" x14ac:dyDescent="0.45">
      <c r="A31" s="5">
        <v>43135</v>
      </c>
      <c r="B31" s="5" t="s">
        <v>49</v>
      </c>
      <c r="C31" t="s">
        <v>25</v>
      </c>
      <c r="D31" t="str">
        <f>IFERROR(VLOOKUP($C31,商品!$A:$C,2,FALSE),"")</f>
        <v>SDカード64GB</v>
      </c>
      <c r="E31" s="4">
        <v>2500</v>
      </c>
      <c r="F31" s="33">
        <v>1</v>
      </c>
      <c r="G31" s="6">
        <f t="shared" si="0"/>
        <v>2500</v>
      </c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InputMessage="1" showErrorMessage="1">
          <x14:formula1>
            <xm:f>取引先!$A$2:$A$6</xm:f>
          </x14:formula1>
          <xm:sqref>D2</xm:sqref>
        </x14:dataValidation>
        <x14:dataValidation type="list" operator="greaterThan" allowBlank="1" showInputMessage="1" showErrorMessage="1">
          <x14:formula1>
            <xm:f>商品!$A$4:$A$12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workbookViewId="0">
      <selection activeCell="B7" sqref="B7"/>
    </sheetView>
  </sheetViews>
  <sheetFormatPr defaultRowHeight="18" x14ac:dyDescent="0.45"/>
  <cols>
    <col min="2" max="2" width="15.69921875" customWidth="1"/>
  </cols>
  <sheetData>
    <row r="1" spans="1:3" x14ac:dyDescent="0.45">
      <c r="A1" s="1" t="s">
        <v>6</v>
      </c>
    </row>
    <row r="3" spans="1:3" ht="18.600000000000001" thickBot="1" x14ac:dyDescent="0.5">
      <c r="A3" s="2" t="s">
        <v>5</v>
      </c>
      <c r="B3" s="3" t="s">
        <v>1</v>
      </c>
      <c r="C3" s="3" t="s">
        <v>2</v>
      </c>
    </row>
    <row r="4" spans="1:3" ht="18.600000000000001" thickTop="1" x14ac:dyDescent="0.45">
      <c r="A4" t="s">
        <v>8</v>
      </c>
      <c r="B4" t="s">
        <v>26</v>
      </c>
      <c r="C4" s="4">
        <v>1500</v>
      </c>
    </row>
    <row r="5" spans="1:3" x14ac:dyDescent="0.45">
      <c r="A5" t="s">
        <v>9</v>
      </c>
      <c r="B5" t="s">
        <v>42</v>
      </c>
      <c r="C5" s="4">
        <v>1200</v>
      </c>
    </row>
    <row r="6" spans="1:3" x14ac:dyDescent="0.45">
      <c r="A6" t="s">
        <v>25</v>
      </c>
      <c r="B6" t="s">
        <v>41</v>
      </c>
      <c r="C6" s="4">
        <v>2800</v>
      </c>
    </row>
    <row r="7" spans="1:3" x14ac:dyDescent="0.45">
      <c r="A7" t="s">
        <v>27</v>
      </c>
      <c r="B7" t="s">
        <v>28</v>
      </c>
      <c r="C7" s="4">
        <v>3000</v>
      </c>
    </row>
    <row r="8" spans="1:3" x14ac:dyDescent="0.45">
      <c r="A8" t="s">
        <v>10</v>
      </c>
      <c r="B8" t="s">
        <v>11</v>
      </c>
      <c r="C8" s="4">
        <v>800</v>
      </c>
    </row>
    <row r="9" spans="1:3" x14ac:dyDescent="0.45">
      <c r="A9" t="s">
        <v>21</v>
      </c>
      <c r="B9" t="s">
        <v>22</v>
      </c>
      <c r="C9" s="4">
        <v>2000</v>
      </c>
    </row>
    <row r="10" spans="1:3" x14ac:dyDescent="0.45">
      <c r="A10" t="s">
        <v>23</v>
      </c>
      <c r="B10" t="s">
        <v>24</v>
      </c>
      <c r="C10" s="4">
        <v>13000</v>
      </c>
    </row>
    <row r="11" spans="1:3" x14ac:dyDescent="0.45">
      <c r="A11" t="s">
        <v>29</v>
      </c>
      <c r="B11" t="s">
        <v>31</v>
      </c>
      <c r="C11" s="4">
        <v>680</v>
      </c>
    </row>
    <row r="12" spans="1:3" x14ac:dyDescent="0.45">
      <c r="A12" t="s">
        <v>30</v>
      </c>
      <c r="B12" t="s">
        <v>32</v>
      </c>
      <c r="C12" s="4">
        <v>3000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workbookViewId="0">
      <selection activeCell="K4" sqref="K4"/>
    </sheetView>
  </sheetViews>
  <sheetFormatPr defaultRowHeight="18" x14ac:dyDescent="0.45"/>
  <cols>
    <col min="1" max="1" width="10.69921875" customWidth="1"/>
    <col min="2" max="2" width="9.19921875" customWidth="1"/>
    <col min="3" max="3" width="26.69921875" customWidth="1"/>
    <col min="4" max="4" width="11.3984375" customWidth="1"/>
    <col min="5" max="5" width="8.69921875" bestFit="1" customWidth="1"/>
    <col min="6" max="6" width="11.3984375" customWidth="1"/>
  </cols>
  <sheetData>
    <row r="1" spans="1:6" ht="22.2" x14ac:dyDescent="0.45">
      <c r="A1" s="35" t="s">
        <v>14</v>
      </c>
      <c r="B1" s="35"/>
      <c r="C1" s="36"/>
      <c r="D1" s="36"/>
      <c r="E1" s="36"/>
      <c r="F1" s="36"/>
    </row>
    <row r="2" spans="1:6" ht="9.6" customHeight="1" x14ac:dyDescent="0.45">
      <c r="F2" s="7"/>
    </row>
    <row r="3" spans="1:6" ht="21" customHeight="1" thickBot="1" x14ac:dyDescent="0.5">
      <c r="A3" s="32"/>
      <c r="B3" s="8"/>
      <c r="C3" s="9"/>
      <c r="D3" s="10" t="s">
        <v>15</v>
      </c>
      <c r="F3" s="5">
        <f ca="1">TODAY()</f>
        <v>45860</v>
      </c>
    </row>
    <row r="5" spans="1:6" ht="18.600000000000001" thickBot="1" x14ac:dyDescent="0.5">
      <c r="A5" s="9" t="s">
        <v>44</v>
      </c>
      <c r="B5" s="9"/>
      <c r="C5" s="9"/>
      <c r="D5" s="10" t="s">
        <v>59</v>
      </c>
      <c r="F5" s="23" t="s">
        <v>35</v>
      </c>
    </row>
    <row r="6" spans="1:6" x14ac:dyDescent="0.45">
      <c r="A6" s="11" t="s">
        <v>16</v>
      </c>
      <c r="B6" s="11"/>
      <c r="F6" s="12" t="s">
        <v>17</v>
      </c>
    </row>
    <row r="7" spans="1:6" x14ac:dyDescent="0.45">
      <c r="A7" s="13" t="s">
        <v>18</v>
      </c>
      <c r="B7" s="13"/>
      <c r="F7" s="12" t="s">
        <v>19</v>
      </c>
    </row>
    <row r="8" spans="1:6" ht="12" customHeight="1" x14ac:dyDescent="0.45"/>
    <row r="9" spans="1:6" x14ac:dyDescent="0.45">
      <c r="A9" s="14" t="s">
        <v>0</v>
      </c>
      <c r="B9" s="14" t="s">
        <v>45</v>
      </c>
      <c r="C9" s="14" t="s">
        <v>1</v>
      </c>
      <c r="D9" s="14" t="s">
        <v>2</v>
      </c>
      <c r="E9" s="14" t="s">
        <v>3</v>
      </c>
      <c r="F9" s="14" t="s">
        <v>20</v>
      </c>
    </row>
    <row r="10" spans="1:6" x14ac:dyDescent="0.45">
      <c r="A10" s="26">
        <v>43130</v>
      </c>
      <c r="B10" s="15" t="s">
        <v>62</v>
      </c>
      <c r="C10" s="15" t="s">
        <v>63</v>
      </c>
      <c r="D10" s="16">
        <v>3000</v>
      </c>
      <c r="E10" s="15">
        <v>3</v>
      </c>
      <c r="F10" s="16">
        <v>9000</v>
      </c>
    </row>
    <row r="11" spans="1:6" x14ac:dyDescent="0.45">
      <c r="A11" s="27">
        <v>43130</v>
      </c>
      <c r="B11" s="17" t="s">
        <v>62</v>
      </c>
      <c r="C11" s="17" t="s">
        <v>63</v>
      </c>
      <c r="D11" s="18">
        <v>3000</v>
      </c>
      <c r="E11" s="17">
        <v>3</v>
      </c>
      <c r="F11" s="18">
        <v>9000</v>
      </c>
    </row>
    <row r="12" spans="1:6" x14ac:dyDescent="0.45">
      <c r="A12" s="27">
        <v>43133</v>
      </c>
      <c r="B12" s="17" t="s">
        <v>62</v>
      </c>
      <c r="C12" s="17" t="s">
        <v>63</v>
      </c>
      <c r="D12" s="18">
        <v>3000</v>
      </c>
      <c r="E12" s="17">
        <v>1</v>
      </c>
      <c r="F12" s="18">
        <v>3000</v>
      </c>
    </row>
    <row r="13" spans="1:6" x14ac:dyDescent="0.45">
      <c r="A13" s="27"/>
      <c r="B13" s="17"/>
      <c r="C13" s="17"/>
      <c r="D13" s="18"/>
      <c r="E13" s="17"/>
      <c r="F13" s="18"/>
    </row>
    <row r="14" spans="1:6" x14ac:dyDescent="0.45">
      <c r="A14" s="27"/>
      <c r="B14" s="17"/>
      <c r="C14" s="17"/>
      <c r="D14" s="18"/>
      <c r="E14" s="17"/>
      <c r="F14" s="18"/>
    </row>
    <row r="15" spans="1:6" x14ac:dyDescent="0.45">
      <c r="A15" s="27"/>
      <c r="B15" s="17"/>
      <c r="C15" s="17"/>
      <c r="D15" s="18"/>
      <c r="E15" s="17"/>
      <c r="F15" s="18"/>
    </row>
    <row r="16" spans="1:6" x14ac:dyDescent="0.45">
      <c r="A16" s="27"/>
      <c r="B16" s="17"/>
      <c r="C16" s="17"/>
      <c r="D16" s="18"/>
      <c r="E16" s="17"/>
      <c r="F16" s="18"/>
    </row>
    <row r="17" spans="1:6" x14ac:dyDescent="0.45">
      <c r="A17" s="28"/>
      <c r="B17" s="19"/>
      <c r="C17" s="19"/>
      <c r="D17" s="20"/>
      <c r="E17" s="19"/>
      <c r="F17" s="20"/>
    </row>
    <row r="18" spans="1:6" x14ac:dyDescent="0.45">
      <c r="E18" s="14" t="s">
        <v>60</v>
      </c>
      <c r="F18" s="21"/>
    </row>
    <row r="19" spans="1:6" x14ac:dyDescent="0.45">
      <c r="E19" s="14" t="s">
        <v>61</v>
      </c>
      <c r="F19" s="21"/>
    </row>
    <row r="20" spans="1:6" ht="22.2" x14ac:dyDescent="0.45">
      <c r="E20" s="22"/>
      <c r="F20" s="34"/>
    </row>
  </sheetData>
  <mergeCells count="1">
    <mergeCell ref="A1:F1"/>
  </mergeCells>
  <phoneticPr fontId="2"/>
  <conditionalFormatting sqref="A10:F17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7"/>
  <sheetViews>
    <sheetView workbookViewId="0">
      <selection activeCell="A6" sqref="A6"/>
    </sheetView>
  </sheetViews>
  <sheetFormatPr defaultRowHeight="18" x14ac:dyDescent="0.45"/>
  <cols>
    <col min="1" max="1" width="14.19921875" bestFit="1" customWidth="1"/>
  </cols>
  <sheetData>
    <row r="1" spans="1:1" x14ac:dyDescent="0.45">
      <c r="A1" s="29" t="s">
        <v>33</v>
      </c>
    </row>
    <row r="2" spans="1:1" x14ac:dyDescent="0.45">
      <c r="A2" s="5" t="s">
        <v>51</v>
      </c>
    </row>
    <row r="3" spans="1:1" x14ac:dyDescent="0.45">
      <c r="A3" s="5" t="s">
        <v>55</v>
      </c>
    </row>
    <row r="4" spans="1:1" x14ac:dyDescent="0.45">
      <c r="A4" s="5" t="s">
        <v>48</v>
      </c>
    </row>
    <row r="5" spans="1:1" x14ac:dyDescent="0.45">
      <c r="A5" s="5" t="s">
        <v>53</v>
      </c>
    </row>
    <row r="6" spans="1:1" x14ac:dyDescent="0.45">
      <c r="A6" s="5" t="s">
        <v>47</v>
      </c>
    </row>
    <row r="7" spans="1:1" x14ac:dyDescent="0.45">
      <c r="A7" s="5"/>
    </row>
    <row r="8" spans="1:1" x14ac:dyDescent="0.45">
      <c r="A8" s="5"/>
    </row>
    <row r="9" spans="1:1" x14ac:dyDescent="0.45">
      <c r="A9" s="5"/>
    </row>
    <row r="10" spans="1:1" x14ac:dyDescent="0.45">
      <c r="A10" s="5"/>
    </row>
    <row r="11" spans="1:1" x14ac:dyDescent="0.45">
      <c r="A11" s="5"/>
    </row>
    <row r="12" spans="1:1" x14ac:dyDescent="0.45">
      <c r="A12" s="5"/>
    </row>
    <row r="13" spans="1:1" x14ac:dyDescent="0.45">
      <c r="A13" s="5"/>
    </row>
    <row r="14" spans="1:1" x14ac:dyDescent="0.45">
      <c r="A14" s="5"/>
    </row>
    <row r="15" spans="1:1" x14ac:dyDescent="0.45">
      <c r="A15" s="5"/>
    </row>
    <row r="16" spans="1:1" x14ac:dyDescent="0.45">
      <c r="A16" s="5"/>
    </row>
    <row r="17" spans="1:1" x14ac:dyDescent="0.45">
      <c r="A17" s="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売上</vt:lpstr>
      <vt:lpstr>商品</vt:lpstr>
      <vt:lpstr>請求書</vt:lpstr>
      <vt:lpstr>取引先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Hidetoshi</dc:creator>
  <cp:lastModifiedBy>利用者</cp:lastModifiedBy>
  <dcterms:created xsi:type="dcterms:W3CDTF">2016-11-28T01:12:00Z</dcterms:created>
  <dcterms:modified xsi:type="dcterms:W3CDTF">2025-07-22T04:03:07Z</dcterms:modified>
</cp:coreProperties>
</file>